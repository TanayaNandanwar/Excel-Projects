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DF76CE0B1A0097/Documents/"/>
    </mc:Choice>
  </mc:AlternateContent>
  <xr:revisionPtr revIDLastSave="3" documentId="8_{208F840A-EA9B-452B-827E-6DAA6D2B03F5}" xr6:coauthVersionLast="47" xr6:coauthVersionMax="47" xr10:uidLastSave="{4BC9BB85-98DC-4046-9958-24E2926D3A0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K3" i="1"/>
  <c r="K4" i="1"/>
  <c r="K5" i="1"/>
  <c r="K6" i="1"/>
  <c r="K7" i="1"/>
  <c r="K8" i="1"/>
  <c r="K9" i="1"/>
  <c r="K10" i="1"/>
  <c r="K11" i="1"/>
  <c r="K2" i="1"/>
  <c r="H2" i="1"/>
  <c r="H3" i="1"/>
  <c r="H4" i="1"/>
  <c r="H5" i="1"/>
  <c r="H6" i="1"/>
  <c r="H7" i="1"/>
  <c r="H8" i="1"/>
  <c r="H9" i="1"/>
  <c r="H10" i="1"/>
  <c r="H11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<sst xmlns="http://schemas.openxmlformats.org/spreadsheetml/2006/main" count="19" uniqueCount="19">
  <si>
    <t>Name</t>
  </si>
  <si>
    <t>Week 1 sales</t>
  </si>
  <si>
    <t>Week 2 sales</t>
  </si>
  <si>
    <t>Week 3 sales</t>
  </si>
  <si>
    <t>Week 4 sales</t>
  </si>
  <si>
    <t>Madhav</t>
  </si>
  <si>
    <t>Ramesh</t>
  </si>
  <si>
    <t>Suraj</t>
  </si>
  <si>
    <t>Sajid</t>
  </si>
  <si>
    <t>Anish</t>
  </si>
  <si>
    <t>Swami</t>
  </si>
  <si>
    <t>Ruchita</t>
  </si>
  <si>
    <t>Shree</t>
  </si>
  <si>
    <t>Anjali</t>
  </si>
  <si>
    <t>Sonu</t>
  </si>
  <si>
    <t>Total</t>
  </si>
  <si>
    <t>Bonus</t>
  </si>
  <si>
    <t>Work Rate Status (30 days)</t>
  </si>
  <si>
    <t>Sales per day (total sales/30)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</si>
</sst>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/>
    <xf numFmtId="0" fontId="1" fillId="0" borderId="0" xfId="0" applyFont="1" applyAlignment="1">
      <alignment horizontal="center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D1" workbookViewId="0">
      <selection activeCell="F17" sqref="F17"/>
    </sheetView>
  </sheetViews>
  <sheetFormatPr defaultRowHeight="14.4" x14ac:dyDescent="0.3"/>
  <cols>
    <col min="1" max="1" width="7.6640625" style="2" bestFit="1" customWidth="1"/>
    <col min="2" max="5" width="12.6640625" style="2" bestFit="1" customWidth="1"/>
    <col min="6" max="6" width="10.6640625" style="2" customWidth="1"/>
    <col min="8" max="8" width="9.77734375" style="2" customWidth="1"/>
    <col min="9" max="9" width="8.77734375" bestFit="1" customWidth="1"/>
    <col min="10" max="10" width="27.77734375" style="2" customWidth="1"/>
    <col min="11" max="11" width="26.33203125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H1" s="1" t="s">
        <v>16</v>
      </c>
      <c r="J1" s="1" t="s">
        <v>17</v>
      </c>
      <c r="K1" t="s">
        <v>18</v>
      </c>
    </row>
    <row r="2" spans="1:11" x14ac:dyDescent="0.3">
      <c r="A2" s="5" t="s">
        <v>13</v>
      </c>
      <c r="B2" s="3">
        <v>720</v>
      </c>
      <c r="C2" s="3">
        <v>90</v>
      </c>
      <c r="D2" s="3">
        <v>705</v>
      </c>
      <c r="E2" s="3">
        <v>135</v>
      </c>
      <c r="F2" s="3">
        <f>SUM(B2:E2)</f>
        <v>1650</v>
      </c>
      <c r="H2" s="2">
        <f>IF(F2&gt;=2000,F2*10%,IF(F2&gt;=1500,F2*5%,IF(F2&gt;=1000,F2*2%,"no bonus")))</f>
        <v>82.5</v>
      </c>
      <c r="J2" s="3" t="str">
        <f>IF(K2&gt;50,"keep working","work harder to avoid danger")</f>
        <v>keep working</v>
      </c>
      <c r="K2" s="6">
        <f>F2/30</f>
        <v>55</v>
      </c>
    </row>
    <row r="3" spans="1:11" x14ac:dyDescent="0.3">
      <c r="A3" s="5" t="s">
        <v>5</v>
      </c>
      <c r="B3" s="3">
        <v>30</v>
      </c>
      <c r="C3" s="3">
        <v>150</v>
      </c>
      <c r="D3" s="3">
        <v>135</v>
      </c>
      <c r="E3" s="3">
        <v>585</v>
      </c>
      <c r="F3" s="3">
        <f t="shared" ref="F3:F11" si="0">SUM(B3:E3)</f>
        <v>900</v>
      </c>
      <c r="H3" s="2" t="str">
        <f t="shared" ref="H3:H11" si="1">IF(F3&gt;=2000,F3*10%,IF(F3&gt;=1500,F3*5%,IF(F3&gt;=1000,F3*2%,"no bonus")))</f>
        <v>no bonus</v>
      </c>
      <c r="J3" s="3" t="str">
        <f t="shared" ref="J3:J11" si="2">IF(K3&gt;50,"keep working","work harder to avoid danger")</f>
        <v>work harder to avoid danger</v>
      </c>
      <c r="K3" s="6">
        <f t="shared" ref="K3:K11" si="3">F3/30</f>
        <v>30</v>
      </c>
    </row>
    <row r="4" spans="1:11" x14ac:dyDescent="0.3">
      <c r="A4" s="5" t="s">
        <v>6</v>
      </c>
      <c r="B4" s="3">
        <v>255</v>
      </c>
      <c r="C4" s="3">
        <v>135</v>
      </c>
      <c r="D4" s="3">
        <v>555</v>
      </c>
      <c r="E4" s="3">
        <v>15</v>
      </c>
      <c r="F4" s="3">
        <f t="shared" si="0"/>
        <v>960</v>
      </c>
      <c r="H4" s="2" t="str">
        <f t="shared" si="1"/>
        <v>no bonus</v>
      </c>
      <c r="J4" s="3" t="str">
        <f t="shared" si="2"/>
        <v>work harder to avoid danger</v>
      </c>
      <c r="K4" s="6">
        <f t="shared" si="3"/>
        <v>32</v>
      </c>
    </row>
    <row r="5" spans="1:11" x14ac:dyDescent="0.3">
      <c r="A5" s="5" t="s">
        <v>7</v>
      </c>
      <c r="B5" s="3">
        <v>90</v>
      </c>
      <c r="C5" s="3">
        <v>600</v>
      </c>
      <c r="D5" s="3">
        <v>390</v>
      </c>
      <c r="E5" s="3">
        <v>90</v>
      </c>
      <c r="F5" s="3">
        <f t="shared" si="0"/>
        <v>1170</v>
      </c>
      <c r="G5" s="4"/>
      <c r="H5" s="2">
        <f t="shared" si="1"/>
        <v>23.400000000000002</v>
      </c>
      <c r="J5" s="3" t="str">
        <f t="shared" si="2"/>
        <v>work harder to avoid danger</v>
      </c>
      <c r="K5" s="6">
        <f t="shared" si="3"/>
        <v>39</v>
      </c>
    </row>
    <row r="6" spans="1:11" x14ac:dyDescent="0.3">
      <c r="A6" s="5" t="s">
        <v>8</v>
      </c>
      <c r="B6" s="3">
        <v>255</v>
      </c>
      <c r="C6" s="3">
        <v>270</v>
      </c>
      <c r="D6" s="3">
        <v>270</v>
      </c>
      <c r="E6" s="3">
        <v>330</v>
      </c>
      <c r="F6" s="3">
        <f t="shared" si="0"/>
        <v>1125</v>
      </c>
      <c r="H6" s="2">
        <f t="shared" si="1"/>
        <v>22.5</v>
      </c>
      <c r="J6" s="3" t="str">
        <f t="shared" si="2"/>
        <v>work harder to avoid danger</v>
      </c>
      <c r="K6" s="6">
        <f t="shared" si="3"/>
        <v>37.5</v>
      </c>
    </row>
    <row r="7" spans="1:11" x14ac:dyDescent="0.3">
      <c r="A7" s="5" t="s">
        <v>9</v>
      </c>
      <c r="B7" s="3">
        <v>165</v>
      </c>
      <c r="C7" s="3">
        <v>555</v>
      </c>
      <c r="D7" s="3">
        <v>660</v>
      </c>
      <c r="E7" s="3">
        <v>525</v>
      </c>
      <c r="F7" s="3">
        <f t="shared" si="0"/>
        <v>1905</v>
      </c>
      <c r="H7" s="2">
        <f t="shared" si="1"/>
        <v>95.25</v>
      </c>
      <c r="J7" s="3" t="str">
        <f t="shared" si="2"/>
        <v>keep working</v>
      </c>
      <c r="K7" s="6">
        <f t="shared" si="3"/>
        <v>63.5</v>
      </c>
    </row>
    <row r="8" spans="1:11" x14ac:dyDescent="0.3">
      <c r="A8" s="5" t="s">
        <v>10</v>
      </c>
      <c r="B8" s="3">
        <v>645</v>
      </c>
      <c r="C8" s="3">
        <v>570</v>
      </c>
      <c r="D8" s="3">
        <v>450</v>
      </c>
      <c r="E8" s="3">
        <v>660</v>
      </c>
      <c r="F8" s="3">
        <f t="shared" si="0"/>
        <v>2325</v>
      </c>
      <c r="H8" s="2">
        <f t="shared" si="1"/>
        <v>232.5</v>
      </c>
      <c r="J8" s="3" t="str">
        <f t="shared" si="2"/>
        <v>keep working</v>
      </c>
      <c r="K8" s="6">
        <f t="shared" si="3"/>
        <v>77.5</v>
      </c>
    </row>
    <row r="9" spans="1:11" x14ac:dyDescent="0.3">
      <c r="A9" s="5" t="s">
        <v>11</v>
      </c>
      <c r="B9" s="3">
        <v>150</v>
      </c>
      <c r="C9" s="3">
        <v>90</v>
      </c>
      <c r="D9" s="3">
        <v>165</v>
      </c>
      <c r="E9" s="3">
        <v>360</v>
      </c>
      <c r="F9" s="3">
        <f t="shared" si="0"/>
        <v>765</v>
      </c>
      <c r="H9" s="2" t="str">
        <f t="shared" si="1"/>
        <v>no bonus</v>
      </c>
      <c r="J9" s="3" t="str">
        <f t="shared" si="2"/>
        <v>work harder to avoid danger</v>
      </c>
      <c r="K9" s="6">
        <f t="shared" si="3"/>
        <v>25.5</v>
      </c>
    </row>
    <row r="10" spans="1:11" x14ac:dyDescent="0.3">
      <c r="A10" s="5" t="s">
        <v>12</v>
      </c>
      <c r="B10" s="3">
        <v>105</v>
      </c>
      <c r="C10" s="3">
        <v>675</v>
      </c>
      <c r="D10" s="3">
        <v>660</v>
      </c>
      <c r="E10" s="3">
        <v>105</v>
      </c>
      <c r="F10" s="3">
        <f t="shared" si="0"/>
        <v>1545</v>
      </c>
      <c r="H10" s="2">
        <f t="shared" si="1"/>
        <v>77.25</v>
      </c>
      <c r="J10" s="3" t="str">
        <f t="shared" si="2"/>
        <v>keep working</v>
      </c>
      <c r="K10" s="6">
        <f t="shared" si="3"/>
        <v>51.5</v>
      </c>
    </row>
    <row r="11" spans="1:11" x14ac:dyDescent="0.3">
      <c r="A11" s="5" t="s">
        <v>14</v>
      </c>
      <c r="B11" s="3">
        <v>300</v>
      </c>
      <c r="C11" s="3">
        <v>285</v>
      </c>
      <c r="D11" s="3">
        <v>225</v>
      </c>
      <c r="E11" s="3">
        <v>375</v>
      </c>
      <c r="F11" s="3">
        <f t="shared" si="0"/>
        <v>1185</v>
      </c>
      <c r="H11" s="2">
        <f t="shared" si="1"/>
        <v>23.7</v>
      </c>
      <c r="J11" s="3" t="str">
        <f t="shared" si="2"/>
        <v>work harder to avoid danger</v>
      </c>
      <c r="K11" s="6">
        <f t="shared" si="3"/>
        <v>39.5</v>
      </c>
    </row>
    <row r="12" spans="1:11" x14ac:dyDescent="0.3">
      <c r="B12" s="3"/>
      <c r="C12" s="3"/>
      <c r="D12" s="3"/>
      <c r="E12" s="3"/>
    </row>
    <row r="14" spans="1:11" x14ac:dyDescent="0.3">
      <c r="F14" s="3"/>
    </row>
    <row r="15" spans="1:11" x14ac:dyDescent="0.3">
      <c r="H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Tanaya Nandanwar</cp:lastModifiedBy>
  <dcterms:created xsi:type="dcterms:W3CDTF">2021-12-21T08:08:17Z</dcterms:created>
  <dcterms:modified xsi:type="dcterms:W3CDTF">2025-03-22T07:47:44Z</dcterms:modified>
</cp:coreProperties>
</file>